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gagement Segments" sheetId="2" state="visible" r:id="rId2"/>
    <sheet name="By Model Rank" sheetId="3" state="visible" r:id="rId3"/>
    <sheet name="By Gender &amp; Geography" sheetId="4" state="visible" r:id="rId4"/>
    <sheet name="Send Timing" sheetId="5" state="visible" r:id="rId5"/>
    <sheet name="Top Links &amp; Domains" sheetId="6" state="visible" r:id="rId6"/>
    <sheet name="List Quality" sheetId="7" state="visible" r:id="rId7"/>
    <sheet name="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i val="1"/>
      <color rgb="00666666"/>
      <sz val="10"/>
    </font>
    <font>
      <name val="Arial"/>
      <b val="1"/>
      <color rgb="001F4E3D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1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3" fontId="6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4" customWidth="1" min="4" max="4"/>
  </cols>
  <sheetData>
    <row r="2">
      <c r="B2" s="1" t="inlineStr">
        <is>
          <t>OnePuttPro — Sep 19, 2026 Send</t>
        </is>
      </c>
    </row>
    <row r="3">
      <c r="B3" s="2" t="inlineStr">
        <is>
          <t>Audience Insights &amp; Engagement Report  |  Source: Acoustic campaign export (GL - OnePuttPro - 2026 - Sep 19)  |  Compiled 2026-09-25</t>
        </is>
      </c>
    </row>
    <row r="5">
      <c r="B5" s="3" t="inlineStr">
        <is>
          <t>Campaign Funnel</t>
        </is>
      </c>
    </row>
    <row r="6">
      <c r="A6" s="4" t="inlineStr">
        <is>
          <t>Metric</t>
        </is>
      </c>
      <c r="B6" s="4" t="inlineStr">
        <is>
          <t>Count</t>
        </is>
      </c>
      <c r="C6" s="4" t="inlineStr">
        <is>
          <t>% of Targeted</t>
        </is>
      </c>
      <c r="D6" s="4" t="inlineStr">
        <is>
          <t>% of Delivered</t>
        </is>
      </c>
    </row>
    <row r="7">
      <c r="A7" s="5" t="inlineStr">
        <is>
          <t>Targeted (list before hygiene)</t>
        </is>
      </c>
      <c r="B7" s="6" t="n">
        <v>193845</v>
      </c>
      <c r="C7" s="7">
        <f>IFERROR(B7/$B$7,0)</f>
        <v/>
      </c>
      <c r="D7" s="7">
        <f>IFERROR(B7/$B$12,0)</f>
        <v/>
      </c>
    </row>
    <row r="8">
      <c r="A8" s="5" t="inlineStr">
        <is>
          <t>Suppressed pre-send (list hygiene)</t>
        </is>
      </c>
      <c r="B8" s="6" t="n">
        <v>1891</v>
      </c>
      <c r="C8" s="7">
        <f>IFERROR(B8/$B$7,0)</f>
        <v/>
      </c>
      <c r="D8" s="7">
        <f>IFERROR(B8/$B$12,0)</f>
        <v/>
      </c>
    </row>
    <row r="9">
      <c r="A9" s="5" t="inlineStr">
        <is>
          <t>Sent</t>
        </is>
      </c>
      <c r="B9" s="6" t="n">
        <v>191954</v>
      </c>
      <c r="C9" s="7">
        <f>IFERROR(B9/$B$7,0)</f>
        <v/>
      </c>
      <c r="D9" s="7">
        <f>IFERROR(B9/$B$12,0)</f>
        <v/>
      </c>
    </row>
    <row r="10">
      <c r="A10" s="5" t="inlineStr">
        <is>
          <t>Hard Bounced</t>
        </is>
      </c>
      <c r="B10" s="6" t="n">
        <v>3</v>
      </c>
      <c r="C10" s="7">
        <f>IFERROR(B10/$B$7,0)</f>
        <v/>
      </c>
      <c r="D10" s="7">
        <f>IFERROR(B10/$B$12,0)</f>
        <v/>
      </c>
    </row>
    <row r="11">
      <c r="A11" s="5" t="inlineStr">
        <is>
          <t>Soft Bounced</t>
        </is>
      </c>
      <c r="B11" s="6" t="n">
        <v>343</v>
      </c>
      <c r="C11" s="7">
        <f>IFERROR(B11/$B$7,0)</f>
        <v/>
      </c>
      <c r="D11" s="7">
        <f>IFERROR(B11/$B$12,0)</f>
        <v/>
      </c>
    </row>
    <row r="12">
      <c r="A12" s="5" t="inlineStr">
        <is>
          <t>Delivered</t>
        </is>
      </c>
      <c r="B12" s="6" t="n">
        <v>189710</v>
      </c>
      <c r="C12" s="7">
        <f>IFERROR(B12/$B$7,0)</f>
        <v/>
      </c>
      <c r="D12" s="7">
        <f>IFERROR(B12/$B$12,0)</f>
        <v/>
      </c>
    </row>
    <row r="13">
      <c r="A13" s="5" t="inlineStr">
        <is>
          <t>Opened (unique)</t>
        </is>
      </c>
      <c r="B13" s="6" t="n">
        <v>97224</v>
      </c>
      <c r="C13" s="7">
        <f>IFERROR(B13/$B$7,0)</f>
        <v/>
      </c>
      <c r="D13" s="7">
        <f>IFERROR(B13/$B$12,0)</f>
        <v/>
      </c>
    </row>
    <row r="14">
      <c r="A14" s="5" t="inlineStr">
        <is>
          <t>Clicked (unique, any link incl. unsubscribe)</t>
        </is>
      </c>
      <c r="B14" s="6" t="n">
        <v>369</v>
      </c>
      <c r="C14" s="7">
        <f>IFERROR(B14/$B$7,0)</f>
        <v/>
      </c>
      <c r="D14" s="7">
        <f>IFERROR(B14/$B$12,0)</f>
        <v/>
      </c>
    </row>
    <row r="15">
      <c r="A15" s="5" t="inlineStr">
        <is>
          <t>Unsubscribed (completed)</t>
        </is>
      </c>
      <c r="B15" s="6" t="n">
        <v>117</v>
      </c>
      <c r="C15" s="7">
        <f>IFERROR(B15/$B$7,0)</f>
        <v/>
      </c>
      <c r="D15" s="7">
        <f>IFERROR(B15/$B$12,0)</f>
        <v/>
      </c>
    </row>
    <row r="17">
      <c r="B17" s="3" t="inlineStr">
        <is>
          <t>Key Rates</t>
        </is>
      </c>
    </row>
    <row r="19">
      <c r="B19" s="8" t="inlineStr">
        <is>
          <t>Open Rate (of delivered)</t>
        </is>
      </c>
      <c r="C19" s="9">
        <f>B13/B12</f>
        <v/>
      </c>
    </row>
    <row r="20">
      <c r="B20" s="8" t="inlineStr">
        <is>
          <t>Click Rate (of delivered, ALL link clicks incl. unsubscribe)</t>
        </is>
      </c>
      <c r="C20" s="9">
        <f>B14/B12</f>
        <v/>
      </c>
    </row>
    <row r="21">
      <c r="B21" s="8" t="inlineStr">
        <is>
          <t>Click-to-Open Rate (CTOR)</t>
        </is>
      </c>
      <c r="C21" s="9">
        <f>B14/B13</f>
        <v/>
      </c>
    </row>
    <row r="22">
      <c r="B22" s="8" t="inlineStr">
        <is>
          <t>Bounce Rate (of sent)</t>
        </is>
      </c>
      <c r="C22" s="9">
        <f>(B10+B11)/B9</f>
        <v/>
      </c>
    </row>
    <row r="23">
      <c r="B23" s="8" t="inlineStr">
        <is>
          <t>Unsubscribe Rate (of delivered)</t>
        </is>
      </c>
      <c r="C23" s="9">
        <f>B15/B12</f>
        <v/>
      </c>
    </row>
    <row r="26">
      <c r="B26" s="3" t="inlineStr">
        <is>
          <t>Headline Findings</t>
        </is>
      </c>
    </row>
    <row r="27" ht="30" customHeight="1">
      <c r="B27" s="10" t="inlineStr">
        <is>
          <t>•  Open rate of 51.2% on delivered mail is a strong result for this list size — well above typical cold-list b2c benchmarks (~20-25%).</t>
        </is>
      </c>
    </row>
    <row r="28" ht="30" customHeight="1">
      <c r="B28" s="10" t="inlineStr">
        <is>
          <t>•  True CONTENT engagement is much smaller than the click total suggests: of 369 unique 'clickers,' 312 clicked the unsubscribe/preference link and only 60 clicked an actual oneputtpro.com or video link (57 clicked ONLY content links, never the unsubscribe link).</t>
        </is>
      </c>
    </row>
    <row r="29" ht="30" customHeight="1">
      <c r="B29" s="10" t="inlineStr">
        <is>
          <t>•  312 people clicked 'unsubscribe' but only 117 completed an opt-out — a ~195-person gap that is worth checking (confusing landing page, or people who bailed mid-flow but are still receiving mail).</t>
        </is>
      </c>
    </row>
    <row r="30" ht="30" customHeight="1">
      <c r="B30" s="10" t="inlineStr">
        <is>
          <t>•  NGF's own propensity model (Model Score 1_Rank) is highly predictive: Rank A opens at 62.9%, Rank B at 63.9%, but Rank C collapses to 20.9%. Rank C is roughly 28% of the delivered file (53,469 people) and is dragging on aggregate performance.</t>
        </is>
      </c>
    </row>
    <row r="31" ht="30" customHeight="1">
      <c r="B31" s="10" t="inlineStr">
        <is>
          <t>•  Where gender is known (29% of the file), women open at 81.0% vs. men at 46.4% — the single largest engagement gap in the data, though the sample skews male overall (47,144 known-M vs 7,463 known-F).</t>
        </is>
      </c>
    </row>
    <row r="32" ht="30" customHeight="1">
      <c r="B32" s="10" t="inlineStr">
        <is>
          <t>•  gmail.com is 87% of the delivered list; charter.net and roadrunner.com over-index on open rate (~72-76%). cox.net (12.1%) and aim.com (20.5%) show unusually high bounce rates and are worth a deliverability check.</t>
        </is>
      </c>
    </row>
    <row r="33" ht="30" customHeight="1">
      <c r="B33" s="10" t="inlineStr">
        <is>
          <t>•  42,162 contacts (22%) trace to a stale 2019 source vintage and open ~3pts lower (49.2% vs 51.8%) — a modest but real decay signal worth a re-permission or refresh push.</t>
        </is>
      </c>
    </row>
    <row r="35">
      <c r="B35" s="2" t="inlineStr">
        <is>
          <t>See tabs: Engagement Segments, By Model Rank, By Gender &amp; Geography, Send Timing, Top Links &amp; Domains, List Quality, Recommendations.</t>
        </is>
      </c>
    </row>
  </sheetData>
  <mergeCells count="7">
    <mergeCell ref="B28:H28"/>
    <mergeCell ref="B32:H32"/>
    <mergeCell ref="B27:H27"/>
    <mergeCell ref="B30:H30"/>
    <mergeCell ref="B29:H29"/>
    <mergeCell ref="B33:H33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</cols>
  <sheetData>
    <row r="2">
      <c r="B2" s="3" t="inlineStr">
        <is>
          <t>Engagement Tiers (base = Delivered)</t>
        </is>
      </c>
    </row>
    <row r="4">
      <c r="A4" s="4" t="inlineStr">
        <is>
          <t>Engagement Tier</t>
        </is>
      </c>
      <c r="B4" s="4" t="inlineStr">
        <is>
          <t>Contacts</t>
        </is>
      </c>
      <c r="C4" s="4" t="inlineStr">
        <is>
          <t>% of Delivered</t>
        </is>
      </c>
    </row>
    <row r="5">
      <c r="A5" s="5" t="inlineStr">
        <is>
          <t>Clicked</t>
        </is>
      </c>
      <c r="B5" s="6" t="n">
        <v>369</v>
      </c>
      <c r="C5" s="7">
        <f>B5/$B$8</f>
        <v/>
      </c>
    </row>
    <row r="6">
      <c r="A6" s="5" t="inlineStr">
        <is>
          <t>Opened, No Click</t>
        </is>
      </c>
      <c r="B6" s="6" t="n">
        <v>96855</v>
      </c>
      <c r="C6" s="7">
        <f>B6/$B$8</f>
        <v/>
      </c>
    </row>
    <row r="7">
      <c r="A7" s="5" t="inlineStr">
        <is>
          <t>No Engagement Recorded</t>
        </is>
      </c>
      <c r="B7" s="6" t="n">
        <v>92486</v>
      </c>
      <c r="C7" s="7">
        <f>B7/$B$8</f>
        <v/>
      </c>
    </row>
    <row r="8">
      <c r="A8" s="11" t="inlineStr">
        <is>
          <t>Total Delivered</t>
        </is>
      </c>
      <c r="B8" s="12">
        <f>SUM(B5:B7)</f>
        <v/>
      </c>
    </row>
    <row r="11">
      <c r="B11" s="3" t="inlineStr">
        <is>
          <t>Click Detail: Content vs. Unsubscribe-Link Clicks</t>
        </is>
      </c>
    </row>
    <row r="13">
      <c r="A13" s="4" t="inlineStr">
        <is>
          <t>Click Type</t>
        </is>
      </c>
      <c r="B13" s="4" t="inlineStr">
        <is>
          <t>Unique People</t>
        </is>
      </c>
      <c r="C13" s="4" t="inlineStr">
        <is>
          <t>% of All Clickers</t>
        </is>
      </c>
    </row>
    <row r="14">
      <c r="A14" s="5" t="inlineStr">
        <is>
          <t>Clicked the unsubscribe/preference link</t>
        </is>
      </c>
      <c r="B14" s="6" t="n">
        <v>312</v>
      </c>
      <c r="C14" s="7">
        <f>B14/369</f>
        <v/>
      </c>
    </row>
    <row r="15">
      <c r="A15" s="5" t="inlineStr">
        <is>
          <t>Clicked ONLY the unsubscribe link (no content click)</t>
        </is>
      </c>
      <c r="B15" s="6" t="n">
        <v>309</v>
      </c>
      <c r="C15" s="7">
        <f>B15/369</f>
        <v/>
      </c>
    </row>
    <row r="16">
      <c r="A16" s="5" t="inlineStr">
        <is>
          <t>Clicked an actual content link (oneputtpro.com / video / policy pages)</t>
        </is>
      </c>
      <c r="B16" s="6" t="n">
        <v>60</v>
      </c>
      <c r="C16" s="7">
        <f>B16/369</f>
        <v/>
      </c>
    </row>
    <row r="17">
      <c r="A17" s="5" t="inlineStr">
        <is>
          <t>Clicked content ONLY (never hit unsubscribe link)</t>
        </is>
      </c>
      <c r="B17" s="6" t="n">
        <v>57</v>
      </c>
      <c r="C17" s="7">
        <f>B17/369</f>
        <v/>
      </c>
    </row>
    <row r="18">
      <c r="A18" s="5" t="inlineStr">
        <is>
          <t>Clicked both unsubscribe link and a content link</t>
        </is>
      </c>
      <c r="B18" s="6" t="n">
        <v>3</v>
      </c>
      <c r="C18" s="7">
        <f>B18/369</f>
        <v/>
      </c>
    </row>
    <row r="20">
      <c r="B20" s="2" t="inlineStr">
        <is>
          <t>Note: 369 total unique clickers = any link including unsubscribe. Content-link engagement alone is only ~0.03% of delivered mail.</t>
        </is>
      </c>
    </row>
  </sheetData>
  <mergeCells count="1">
    <mergeCell ref="B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2">
      <c r="B2" s="3" t="inlineStr">
        <is>
          <t>Engagement by NGF Propensity Model Rank (Model Score 1_Rank — 100% populated)</t>
        </is>
      </c>
    </row>
    <row r="4">
      <c r="A4" s="4" t="inlineStr">
        <is>
          <t>Rank</t>
        </is>
      </c>
      <c r="B4" s="4" t="inlineStr">
        <is>
          <t>Delivered</t>
        </is>
      </c>
      <c r="C4" s="4" t="inlineStr">
        <is>
          <t>Opened</t>
        </is>
      </c>
      <c r="D4" s="4" t="inlineStr">
        <is>
          <t>Clicked</t>
        </is>
      </c>
      <c r="E4" s="4" t="inlineStr">
        <is>
          <t>Unsub</t>
        </is>
      </c>
      <c r="F4" s="4" t="inlineStr">
        <is>
          <t>Open Rate</t>
        </is>
      </c>
      <c r="G4" s="4" t="inlineStr">
        <is>
          <t>Click Rate</t>
        </is>
      </c>
      <c r="H4" s="4" t="inlineStr">
        <is>
          <t>CTOR</t>
        </is>
      </c>
    </row>
    <row r="5">
      <c r="A5" s="5" t="inlineStr">
        <is>
          <t>A</t>
        </is>
      </c>
      <c r="B5" s="6" t="n">
        <v>101897</v>
      </c>
      <c r="C5" s="6" t="n">
        <v>64097</v>
      </c>
      <c r="D5" s="6" t="n">
        <v>246</v>
      </c>
      <c r="E5" s="6" t="n">
        <v>65</v>
      </c>
      <c r="F5" s="7">
        <f>IFERROR(C5/B5,0)</f>
        <v/>
      </c>
      <c r="G5" s="7">
        <f>IFERROR(D5/B5,0)</f>
        <v/>
      </c>
      <c r="H5" s="7">
        <f>IFERROR(D5/C5,0)</f>
        <v/>
      </c>
    </row>
    <row r="6">
      <c r="A6" s="5" t="inlineStr">
        <is>
          <t>C</t>
        </is>
      </c>
      <c r="B6" s="6" t="n">
        <v>53469</v>
      </c>
      <c r="C6" s="6" t="n">
        <v>11186</v>
      </c>
      <c r="D6" s="6" t="n">
        <v>51</v>
      </c>
      <c r="E6" s="6" t="n">
        <v>22</v>
      </c>
      <c r="F6" s="7">
        <f>IFERROR(C6/B6,0)</f>
        <v/>
      </c>
      <c r="G6" s="7">
        <f>IFERROR(D6/B6,0)</f>
        <v/>
      </c>
      <c r="H6" s="7">
        <f>IFERROR(D6/C6,0)</f>
        <v/>
      </c>
    </row>
    <row r="7">
      <c r="A7" s="5" t="inlineStr">
        <is>
          <t>B</t>
        </is>
      </c>
      <c r="B7" s="6" t="n">
        <v>34344</v>
      </c>
      <c r="C7" s="6" t="n">
        <v>21941</v>
      </c>
      <c r="D7" s="6" t="n">
        <v>72</v>
      </c>
      <c r="E7" s="6" t="n">
        <v>30</v>
      </c>
      <c r="F7" s="7">
        <f>IFERROR(C7/B7,0)</f>
        <v/>
      </c>
      <c r="G7" s="7">
        <f>IFERROR(D7/B7,0)</f>
        <v/>
      </c>
      <c r="H7" s="7">
        <f>IFERROR(D7/C7,0)</f>
        <v/>
      </c>
    </row>
    <row r="9">
      <c r="B9" s="2" t="inlineStr">
        <is>
          <t>A/B = NGF's higher-propensity golfer ranks. Rank C opens at roughly 1/3 the rate of A/B — deprioritize or re-message Rank C in future sends.</t>
        </is>
      </c>
    </row>
  </sheetData>
  <mergeCells count="1">
    <mergeCell ref="B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4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2">
      <c r="B2" s="3" t="inlineStr">
        <is>
          <t>By Gender (known only — 28.8% of delivered file has a gender on record)</t>
        </is>
      </c>
    </row>
    <row r="4">
      <c r="A4" s="4" t="inlineStr">
        <is>
          <t>Gender</t>
        </is>
      </c>
      <c r="B4" s="4" t="inlineStr">
        <is>
          <t>Delivered</t>
        </is>
      </c>
      <c r="C4" s="4" t="inlineStr">
        <is>
          <t>Opened</t>
        </is>
      </c>
      <c r="D4" s="4" t="inlineStr">
        <is>
          <t>Clicked</t>
        </is>
      </c>
      <c r="E4" s="4" t="inlineStr">
        <is>
          <t>Unsub</t>
        </is>
      </c>
      <c r="F4" s="4" t="inlineStr">
        <is>
          <t>Open Rate</t>
        </is>
      </c>
      <c r="G4" s="4" t="inlineStr">
        <is>
          <t>Click Rate</t>
        </is>
      </c>
      <c r="H4" s="4" t="inlineStr">
        <is>
          <t>CTOR</t>
        </is>
      </c>
    </row>
    <row r="5">
      <c r="A5" s="5" t="inlineStr">
        <is>
          <t>M</t>
        </is>
      </c>
      <c r="B5" s="6" t="n">
        <v>47144</v>
      </c>
      <c r="C5" s="6" t="n">
        <v>21880</v>
      </c>
      <c r="D5" s="6" t="n">
        <v>102</v>
      </c>
      <c r="E5" s="6" t="n">
        <v>29</v>
      </c>
      <c r="F5" s="7">
        <f>IFERROR(C5/B5,0)</f>
        <v/>
      </c>
      <c r="G5" s="7">
        <f>IFERROR(D5/B5,0)</f>
        <v/>
      </c>
      <c r="H5" s="7">
        <f>IFERROR(D5/C5,0)</f>
        <v/>
      </c>
    </row>
    <row r="6">
      <c r="A6" s="5" t="inlineStr">
        <is>
          <t>F</t>
        </is>
      </c>
      <c r="B6" s="6" t="n">
        <v>7463</v>
      </c>
      <c r="C6" s="6" t="n">
        <v>6045</v>
      </c>
      <c r="D6" s="6" t="n">
        <v>19</v>
      </c>
      <c r="E6" s="6" t="n">
        <v>5</v>
      </c>
      <c r="F6" s="7">
        <f>IFERROR(C6/B6,0)</f>
        <v/>
      </c>
      <c r="G6" s="7">
        <f>IFERROR(D6/B6,0)</f>
        <v/>
      </c>
      <c r="H6" s="7">
        <f>IFERROR(D6/C6,0)</f>
        <v/>
      </c>
    </row>
    <row r="9">
      <c r="B9" s="3" t="inlineStr">
        <is>
          <t>By State (top 20 by volume, min 100 delivered)</t>
        </is>
      </c>
    </row>
    <row r="11">
      <c r="A11" s="4" t="inlineStr">
        <is>
          <t>Gender</t>
        </is>
      </c>
      <c r="B11" s="4" t="inlineStr">
        <is>
          <t>Delivered</t>
        </is>
      </c>
      <c r="C11" s="4" t="inlineStr">
        <is>
          <t>Opened</t>
        </is>
      </c>
      <c r="D11" s="4" t="inlineStr">
        <is>
          <t>Clicked</t>
        </is>
      </c>
      <c r="E11" s="4" t="inlineStr">
        <is>
          <t>Unsub</t>
        </is>
      </c>
      <c r="F11" s="4" t="inlineStr">
        <is>
          <t>Open Rate</t>
        </is>
      </c>
      <c r="G11" s="4" t="inlineStr">
        <is>
          <t>Click Rate</t>
        </is>
      </c>
      <c r="H11" s="4" t="inlineStr">
        <is>
          <t>CTOR</t>
        </is>
      </c>
    </row>
    <row r="12">
      <c r="A12" s="5" t="inlineStr">
        <is>
          <t>FL</t>
        </is>
      </c>
      <c r="B12" s="6" t="n">
        <v>19661</v>
      </c>
      <c r="C12" s="6" t="n">
        <v>9346</v>
      </c>
      <c r="D12" s="6" t="n">
        <v>34</v>
      </c>
      <c r="E12" s="6" t="n">
        <v>9</v>
      </c>
      <c r="F12" s="7">
        <f>IFERROR(C12/B12,0)</f>
        <v/>
      </c>
      <c r="G12" s="7">
        <f>IFERROR(D12/B12,0)</f>
        <v/>
      </c>
      <c r="H12" s="7">
        <f>IFERROR(D12/C12,0)</f>
        <v/>
      </c>
    </row>
    <row r="13">
      <c r="A13" s="5" t="inlineStr">
        <is>
          <t>CA</t>
        </is>
      </c>
      <c r="B13" s="6" t="n">
        <v>15816</v>
      </c>
      <c r="C13" s="6" t="n">
        <v>8754</v>
      </c>
      <c r="D13" s="6" t="n">
        <v>32</v>
      </c>
      <c r="E13" s="6" t="n">
        <v>7</v>
      </c>
      <c r="F13" s="7">
        <f>IFERROR(C13/B13,0)</f>
        <v/>
      </c>
      <c r="G13" s="7">
        <f>IFERROR(D13/B13,0)</f>
        <v/>
      </c>
      <c r="H13" s="7">
        <f>IFERROR(D13/C13,0)</f>
        <v/>
      </c>
    </row>
    <row r="14">
      <c r="A14" s="5" t="inlineStr">
        <is>
          <t>TX</t>
        </is>
      </c>
      <c r="B14" s="6" t="n">
        <v>11423</v>
      </c>
      <c r="C14" s="6" t="n">
        <v>6575</v>
      </c>
      <c r="D14" s="6" t="n">
        <v>20</v>
      </c>
      <c r="E14" s="6" t="n">
        <v>7</v>
      </c>
      <c r="F14" s="7">
        <f>IFERROR(C14/B14,0)</f>
        <v/>
      </c>
      <c r="G14" s="7">
        <f>IFERROR(D14/B14,0)</f>
        <v/>
      </c>
      <c r="H14" s="7">
        <f>IFERROR(D14/C14,0)</f>
        <v/>
      </c>
    </row>
    <row r="15">
      <c r="A15" s="5" t="inlineStr">
        <is>
          <t>IL</t>
        </is>
      </c>
      <c r="B15" s="6" t="n">
        <v>9574</v>
      </c>
      <c r="C15" s="6" t="n">
        <v>4803</v>
      </c>
      <c r="D15" s="6" t="n">
        <v>16</v>
      </c>
      <c r="E15" s="6" t="n">
        <v>10</v>
      </c>
      <c r="F15" s="7">
        <f>IFERROR(C15/B15,0)</f>
        <v/>
      </c>
      <c r="G15" s="7">
        <f>IFERROR(D15/B15,0)</f>
        <v/>
      </c>
      <c r="H15" s="7">
        <f>IFERROR(D15/C15,0)</f>
        <v/>
      </c>
    </row>
    <row r="16">
      <c r="A16" s="5" t="inlineStr">
        <is>
          <t>NY</t>
        </is>
      </c>
      <c r="B16" s="6" t="n">
        <v>9468</v>
      </c>
      <c r="C16" s="6" t="n">
        <v>5318</v>
      </c>
      <c r="D16" s="6" t="n">
        <v>17</v>
      </c>
      <c r="E16" s="6" t="n">
        <v>2</v>
      </c>
      <c r="F16" s="7">
        <f>IFERROR(C16/B16,0)</f>
        <v/>
      </c>
      <c r="G16" s="7">
        <f>IFERROR(D16/B16,0)</f>
        <v/>
      </c>
      <c r="H16" s="7">
        <f>IFERROR(D16/C16,0)</f>
        <v/>
      </c>
    </row>
    <row r="17">
      <c r="A17" s="5" t="inlineStr">
        <is>
          <t>PA</t>
        </is>
      </c>
      <c r="B17" s="6" t="n">
        <v>9362</v>
      </c>
      <c r="C17" s="6" t="n">
        <v>4004</v>
      </c>
      <c r="D17" s="6" t="n">
        <v>19</v>
      </c>
      <c r="E17" s="6" t="n">
        <v>4</v>
      </c>
      <c r="F17" s="7">
        <f>IFERROR(C17/B17,0)</f>
        <v/>
      </c>
      <c r="G17" s="7">
        <f>IFERROR(D17/B17,0)</f>
        <v/>
      </c>
      <c r="H17" s="7">
        <f>IFERROR(D17/C17,0)</f>
        <v/>
      </c>
    </row>
    <row r="18">
      <c r="A18" s="5" t="inlineStr">
        <is>
          <t>OH</t>
        </is>
      </c>
      <c r="B18" s="6" t="n">
        <v>7775</v>
      </c>
      <c r="C18" s="6" t="n">
        <v>3884</v>
      </c>
      <c r="D18" s="6" t="n">
        <v>8</v>
      </c>
      <c r="E18" s="6" t="n">
        <v>6</v>
      </c>
      <c r="F18" s="7">
        <f>IFERROR(C18/B18,0)</f>
        <v/>
      </c>
      <c r="G18" s="7">
        <f>IFERROR(D18/B18,0)</f>
        <v/>
      </c>
      <c r="H18" s="7">
        <f>IFERROR(D18/C18,0)</f>
        <v/>
      </c>
    </row>
    <row r="19">
      <c r="A19" s="5" t="inlineStr">
        <is>
          <t>NC</t>
        </is>
      </c>
      <c r="B19" s="6" t="n">
        <v>7678</v>
      </c>
      <c r="C19" s="6" t="n">
        <v>4064</v>
      </c>
      <c r="D19" s="6" t="n">
        <v>19</v>
      </c>
      <c r="E19" s="6" t="n">
        <v>5</v>
      </c>
      <c r="F19" s="7">
        <f>IFERROR(C19/B19,0)</f>
        <v/>
      </c>
      <c r="G19" s="7">
        <f>IFERROR(D19/B19,0)</f>
        <v/>
      </c>
      <c r="H19" s="7">
        <f>IFERROR(D19/C19,0)</f>
        <v/>
      </c>
    </row>
    <row r="20">
      <c r="A20" s="5" t="inlineStr">
        <is>
          <t>MA</t>
        </is>
      </c>
      <c r="B20" s="6" t="n">
        <v>6889</v>
      </c>
      <c r="C20" s="6" t="n">
        <v>3681</v>
      </c>
      <c r="D20" s="6" t="n">
        <v>10</v>
      </c>
      <c r="E20" s="6" t="n">
        <v>4</v>
      </c>
      <c r="F20" s="7">
        <f>IFERROR(C20/B20,0)</f>
        <v/>
      </c>
      <c r="G20" s="7">
        <f>IFERROR(D20/B20,0)</f>
        <v/>
      </c>
      <c r="H20" s="7">
        <f>IFERROR(D20/C20,0)</f>
        <v/>
      </c>
    </row>
    <row r="21">
      <c r="A21" s="5" t="inlineStr">
        <is>
          <t>MI</t>
        </is>
      </c>
      <c r="B21" s="6" t="n">
        <v>6526</v>
      </c>
      <c r="C21" s="6" t="n">
        <v>3381</v>
      </c>
      <c r="D21" s="6" t="n">
        <v>18</v>
      </c>
      <c r="E21" s="6" t="n">
        <v>9</v>
      </c>
      <c r="F21" s="7">
        <f>IFERROR(C21/B21,0)</f>
        <v/>
      </c>
      <c r="G21" s="7">
        <f>IFERROR(D21/B21,0)</f>
        <v/>
      </c>
      <c r="H21" s="7">
        <f>IFERROR(D21/C21,0)</f>
        <v/>
      </c>
    </row>
    <row r="22">
      <c r="A22" s="5" t="inlineStr">
        <is>
          <t>GA</t>
        </is>
      </c>
      <c r="B22" s="6" t="n">
        <v>6060</v>
      </c>
      <c r="C22" s="6" t="n">
        <v>3128</v>
      </c>
      <c r="D22" s="6" t="n">
        <v>13</v>
      </c>
      <c r="E22" s="6" t="n">
        <v>2</v>
      </c>
      <c r="F22" s="7">
        <f>IFERROR(C22/B22,0)</f>
        <v/>
      </c>
      <c r="G22" s="7">
        <f>IFERROR(D22/B22,0)</f>
        <v/>
      </c>
      <c r="H22" s="7">
        <f>IFERROR(D22/C22,0)</f>
        <v/>
      </c>
    </row>
    <row r="23">
      <c r="A23" s="5" t="inlineStr">
        <is>
          <t>NJ</t>
        </is>
      </c>
      <c r="B23" s="6" t="n">
        <v>6032</v>
      </c>
      <c r="C23" s="6" t="n">
        <v>3019</v>
      </c>
      <c r="D23" s="6" t="n">
        <v>9</v>
      </c>
      <c r="E23" s="6" t="n">
        <v>3</v>
      </c>
      <c r="F23" s="7">
        <f>IFERROR(C23/B23,0)</f>
        <v/>
      </c>
      <c r="G23" s="7">
        <f>IFERROR(D23/B23,0)</f>
        <v/>
      </c>
      <c r="H23" s="7">
        <f>IFERROR(D23/C23,0)</f>
        <v/>
      </c>
    </row>
    <row r="24">
      <c r="A24" s="5" t="inlineStr">
        <is>
          <t>AZ</t>
        </is>
      </c>
      <c r="B24" s="6" t="n">
        <v>5610</v>
      </c>
      <c r="C24" s="6" t="n">
        <v>2353</v>
      </c>
      <c r="D24" s="6" t="n">
        <v>15</v>
      </c>
      <c r="E24" s="6" t="n">
        <v>4</v>
      </c>
      <c r="F24" s="7">
        <f>IFERROR(C24/B24,0)</f>
        <v/>
      </c>
      <c r="G24" s="7">
        <f>IFERROR(D24/B24,0)</f>
        <v/>
      </c>
      <c r="H24" s="7">
        <f>IFERROR(D24/C24,0)</f>
        <v/>
      </c>
    </row>
    <row r="25">
      <c r="A25" s="5" t="inlineStr">
        <is>
          <t>VA</t>
        </is>
      </c>
      <c r="B25" s="6" t="n">
        <v>5428</v>
      </c>
      <c r="C25" s="6" t="n">
        <v>2037</v>
      </c>
      <c r="D25" s="6" t="n">
        <v>7</v>
      </c>
      <c r="E25" s="6" t="n">
        <v>2</v>
      </c>
      <c r="F25" s="7">
        <f>IFERROR(C25/B25,0)</f>
        <v/>
      </c>
      <c r="G25" s="7">
        <f>IFERROR(D25/B25,0)</f>
        <v/>
      </c>
      <c r="H25" s="7">
        <f>IFERROR(D25/C25,0)</f>
        <v/>
      </c>
    </row>
    <row r="26">
      <c r="A26" s="5" t="inlineStr">
        <is>
          <t>SC</t>
        </is>
      </c>
      <c r="B26" s="6" t="n">
        <v>4938</v>
      </c>
      <c r="C26" s="6" t="n">
        <v>2451</v>
      </c>
      <c r="D26" s="6" t="n">
        <v>13</v>
      </c>
      <c r="E26" s="6" t="n">
        <v>5</v>
      </c>
      <c r="F26" s="7">
        <f>IFERROR(C26/B26,0)</f>
        <v/>
      </c>
      <c r="G26" s="7">
        <f>IFERROR(D26/B26,0)</f>
        <v/>
      </c>
      <c r="H26" s="7">
        <f>IFERROR(D26/C26,0)</f>
        <v/>
      </c>
    </row>
    <row r="27">
      <c r="A27" s="5" t="inlineStr">
        <is>
          <t>IN</t>
        </is>
      </c>
      <c r="B27" s="6" t="n">
        <v>4426</v>
      </c>
      <c r="C27" s="6" t="n">
        <v>2277</v>
      </c>
      <c r="D27" s="6" t="n">
        <v>9</v>
      </c>
      <c r="E27" s="6" t="n">
        <v>1</v>
      </c>
      <c r="F27" s="7">
        <f>IFERROR(C27/B27,0)</f>
        <v/>
      </c>
      <c r="G27" s="7">
        <f>IFERROR(D27/B27,0)</f>
        <v/>
      </c>
      <c r="H27" s="7">
        <f>IFERROR(D27/C27,0)</f>
        <v/>
      </c>
    </row>
    <row r="28">
      <c r="A28" s="5" t="inlineStr">
        <is>
          <t>MD</t>
        </is>
      </c>
      <c r="B28" s="6" t="n">
        <v>4027</v>
      </c>
      <c r="C28" s="6" t="n">
        <v>1670</v>
      </c>
      <c r="D28" s="6" t="n">
        <v>7</v>
      </c>
      <c r="E28" s="6" t="n">
        <v>1</v>
      </c>
      <c r="F28" s="7">
        <f>IFERROR(C28/B28,0)</f>
        <v/>
      </c>
      <c r="G28" s="7">
        <f>IFERROR(D28/B28,0)</f>
        <v/>
      </c>
      <c r="H28" s="7">
        <f>IFERROR(D28/C28,0)</f>
        <v/>
      </c>
    </row>
    <row r="29">
      <c r="A29" s="5" t="inlineStr">
        <is>
          <t>TN</t>
        </is>
      </c>
      <c r="B29" s="6" t="n">
        <v>3645</v>
      </c>
      <c r="C29" s="6" t="n">
        <v>1849</v>
      </c>
      <c r="D29" s="6" t="n">
        <v>7</v>
      </c>
      <c r="E29" s="6" t="n">
        <v>2</v>
      </c>
      <c r="F29" s="7">
        <f>IFERROR(C29/B29,0)</f>
        <v/>
      </c>
      <c r="G29" s="7">
        <f>IFERROR(D29/B29,0)</f>
        <v/>
      </c>
      <c r="H29" s="7">
        <f>IFERROR(D29/C29,0)</f>
        <v/>
      </c>
    </row>
    <row r="30">
      <c r="A30" s="5" t="inlineStr">
        <is>
          <t>MN</t>
        </is>
      </c>
      <c r="B30" s="6" t="n">
        <v>3303</v>
      </c>
      <c r="C30" s="6" t="n">
        <v>1513</v>
      </c>
      <c r="D30" s="6" t="n">
        <v>3</v>
      </c>
      <c r="E30" s="6" t="n">
        <v>3</v>
      </c>
      <c r="F30" s="7">
        <f>IFERROR(C30/B30,0)</f>
        <v/>
      </c>
      <c r="G30" s="7">
        <f>IFERROR(D30/B30,0)</f>
        <v/>
      </c>
      <c r="H30" s="7">
        <f>IFERROR(D30/C30,0)</f>
        <v/>
      </c>
    </row>
    <row r="31">
      <c r="A31" s="5" t="inlineStr">
        <is>
          <t>CO</t>
        </is>
      </c>
      <c r="B31" s="6" t="n">
        <v>3164</v>
      </c>
      <c r="C31" s="6" t="n">
        <v>1808</v>
      </c>
      <c r="D31" s="6" t="n">
        <v>3</v>
      </c>
      <c r="E31" s="6" t="n">
        <v>5</v>
      </c>
      <c r="F31" s="7">
        <f>IFERROR(C31/B31,0)</f>
        <v/>
      </c>
      <c r="G31" s="7">
        <f>IFERROR(D31/B31,0)</f>
        <v/>
      </c>
      <c r="H31" s="7">
        <f>IFERROR(D31/C31,0)</f>
        <v/>
      </c>
    </row>
    <row r="34">
      <c r="B34" s="3" t="inlineStr">
        <is>
          <t>By Country (min 20 delivered)</t>
        </is>
      </c>
    </row>
    <row r="36">
      <c r="A36" s="4" t="inlineStr">
        <is>
          <t>Gender</t>
        </is>
      </c>
      <c r="B36" s="4" t="inlineStr">
        <is>
          <t>Delivered</t>
        </is>
      </c>
      <c r="C36" s="4" t="inlineStr">
        <is>
          <t>Opened</t>
        </is>
      </c>
      <c r="D36" s="4" t="inlineStr">
        <is>
          <t>Clicked</t>
        </is>
      </c>
      <c r="E36" s="4" t="inlineStr">
        <is>
          <t>Unsub</t>
        </is>
      </c>
      <c r="F36" s="4" t="inlineStr">
        <is>
          <t>Open Rate</t>
        </is>
      </c>
      <c r="G36" s="4" t="inlineStr">
        <is>
          <t>Click Rate</t>
        </is>
      </c>
      <c r="H36" s="4" t="inlineStr">
        <is>
          <t>CTOR</t>
        </is>
      </c>
    </row>
    <row r="37">
      <c r="A37" s="5" t="inlineStr">
        <is>
          <t>United States</t>
        </is>
      </c>
      <c r="B37" s="6" t="n">
        <v>165907</v>
      </c>
      <c r="C37" s="6" t="n">
        <v>85674</v>
      </c>
      <c r="D37" s="6" t="n">
        <v>309</v>
      </c>
      <c r="E37" s="6" t="n">
        <v>110</v>
      </c>
      <c r="F37" s="7">
        <f>IFERROR(C37/B37,0)</f>
        <v/>
      </c>
      <c r="G37" s="7">
        <f>IFERROR(D37/B37,0)</f>
        <v/>
      </c>
      <c r="H37" s="7">
        <f>IFERROR(D37/C37,0)</f>
        <v/>
      </c>
    </row>
    <row r="38">
      <c r="A38" s="5" t="inlineStr">
        <is>
          <t>Canada</t>
        </is>
      </c>
      <c r="B38" s="6" t="n">
        <v>637</v>
      </c>
      <c r="C38" s="6" t="n">
        <v>352</v>
      </c>
      <c r="D38" s="6" t="n">
        <v>4</v>
      </c>
      <c r="E38" s="6" t="n">
        <v>0</v>
      </c>
      <c r="F38" s="7">
        <f>IFERROR(C38/B38,0)</f>
        <v/>
      </c>
      <c r="G38" s="7">
        <f>IFERROR(D38/B38,0)</f>
        <v/>
      </c>
      <c r="H38" s="7">
        <f>IFERROR(D38/C38,0)</f>
        <v/>
      </c>
    </row>
    <row r="39">
      <c r="A39" s="5" t="inlineStr">
        <is>
          <t>Australia</t>
        </is>
      </c>
      <c r="B39" s="6" t="n">
        <v>169</v>
      </c>
      <c r="C39" s="6" t="n">
        <v>100</v>
      </c>
      <c r="D39" s="6" t="n">
        <v>0</v>
      </c>
      <c r="E39" s="6" t="n">
        <v>0</v>
      </c>
      <c r="F39" s="7">
        <f>IFERROR(C39/B39,0)</f>
        <v/>
      </c>
      <c r="G39" s="7">
        <f>IFERROR(D39/B39,0)</f>
        <v/>
      </c>
      <c r="H39" s="7">
        <f>IFERROR(D39/C39,0)</f>
        <v/>
      </c>
    </row>
    <row r="40">
      <c r="A40" s="5" t="inlineStr">
        <is>
          <t>United Kingdom</t>
        </is>
      </c>
      <c r="B40" s="6" t="n">
        <v>142</v>
      </c>
      <c r="C40" s="6" t="n">
        <v>77</v>
      </c>
      <c r="D40" s="6" t="n">
        <v>1</v>
      </c>
      <c r="E40" s="6" t="n">
        <v>0</v>
      </c>
      <c r="F40" s="7">
        <f>IFERROR(C40/B40,0)</f>
        <v/>
      </c>
      <c r="G40" s="7">
        <f>IFERROR(D40/B40,0)</f>
        <v/>
      </c>
      <c r="H40" s="7">
        <f>IFERROR(D40/C40,0)</f>
        <v/>
      </c>
    </row>
    <row r="41">
      <c r="A41" s="5" t="inlineStr">
        <is>
          <t>New Zealand</t>
        </is>
      </c>
      <c r="B41" s="6" t="n">
        <v>44</v>
      </c>
      <c r="C41" s="6" t="n">
        <v>21</v>
      </c>
      <c r="D41" s="6" t="n">
        <v>0</v>
      </c>
      <c r="E41" s="6" t="n">
        <v>0</v>
      </c>
      <c r="F41" s="7">
        <f>IFERROR(C41/B41,0)</f>
        <v/>
      </c>
      <c r="G41" s="7">
        <f>IFERROR(D41/B41,0)</f>
        <v/>
      </c>
      <c r="H41" s="7">
        <f>IFERROR(D41/C41,0)</f>
        <v/>
      </c>
    </row>
    <row r="42">
      <c r="A42" s="5" t="inlineStr">
        <is>
          <t>CANADA</t>
        </is>
      </c>
      <c r="B42" s="6" t="n">
        <v>21</v>
      </c>
      <c r="C42" s="6" t="n">
        <v>17</v>
      </c>
      <c r="D42" s="6" t="n">
        <v>0</v>
      </c>
      <c r="E42" s="6" t="n">
        <v>0</v>
      </c>
      <c r="F42" s="7">
        <f>IFERROR(C42/B42,0)</f>
        <v/>
      </c>
      <c r="G42" s="7">
        <f>IFERROR(D42/B42,0)</f>
        <v/>
      </c>
      <c r="H42" s="7">
        <f>IFERROR(D42/C42,0)</f>
        <v/>
      </c>
    </row>
    <row r="43">
      <c r="A43" s="5" t="inlineStr">
        <is>
          <t>Germany</t>
        </is>
      </c>
      <c r="B43" s="6" t="n">
        <v>20</v>
      </c>
      <c r="C43" s="6" t="n">
        <v>12</v>
      </c>
      <c r="D43" s="6" t="n">
        <v>0</v>
      </c>
      <c r="E43" s="6" t="n">
        <v>0</v>
      </c>
      <c r="F43" s="7">
        <f>IFERROR(C43/B43,0)</f>
        <v/>
      </c>
      <c r="G43" s="7">
        <f>IFERROR(D43/B43,0)</f>
        <v/>
      </c>
      <c r="H43" s="7">
        <f>IFERROR(D43/C43,0)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2">
      <c r="B2" s="3" t="inlineStr">
        <is>
          <t>By Day of Send (this was a 7-day staggered/drip send)</t>
        </is>
      </c>
    </row>
    <row r="4">
      <c r="A4" s="4" t="inlineStr">
        <is>
          <t>Send Day</t>
        </is>
      </c>
      <c r="B4" s="4" t="inlineStr">
        <is>
          <t>Delivered</t>
        </is>
      </c>
      <c r="C4" s="4" t="inlineStr">
        <is>
          <t>Opened</t>
        </is>
      </c>
      <c r="D4" s="4" t="inlineStr">
        <is>
          <t>Clicked</t>
        </is>
      </c>
      <c r="E4" s="4" t="inlineStr">
        <is>
          <t>Unsub</t>
        </is>
      </c>
      <c r="F4" s="4" t="inlineStr">
        <is>
          <t>Open Rate</t>
        </is>
      </c>
      <c r="G4" s="4" t="inlineStr">
        <is>
          <t>Click Rate</t>
        </is>
      </c>
      <c r="H4" s="4" t="inlineStr">
        <is>
          <t>CTOR</t>
        </is>
      </c>
    </row>
    <row r="5">
      <c r="A5" s="5" t="n">
        <v>1</v>
      </c>
      <c r="B5" s="6" t="n">
        <v>29752</v>
      </c>
      <c r="C5" s="6" t="n">
        <v>13600</v>
      </c>
      <c r="D5" s="6" t="n">
        <v>60</v>
      </c>
      <c r="E5" s="6" t="n">
        <v>16</v>
      </c>
      <c r="F5" s="7">
        <f>IFERROR(C5/B5,0)</f>
        <v/>
      </c>
      <c r="G5" s="7">
        <f>IFERROR(D5/B5,0)</f>
        <v/>
      </c>
      <c r="H5" s="7">
        <f>IFERROR(D5/C5,0)</f>
        <v/>
      </c>
    </row>
    <row r="6">
      <c r="A6" s="5" t="n">
        <v>2</v>
      </c>
      <c r="B6" s="6" t="n">
        <v>17561</v>
      </c>
      <c r="C6" s="6" t="n">
        <v>8939</v>
      </c>
      <c r="D6" s="6" t="n">
        <v>34</v>
      </c>
      <c r="E6" s="6" t="n">
        <v>10</v>
      </c>
      <c r="F6" s="7">
        <f>IFERROR(C6/B6,0)</f>
        <v/>
      </c>
      <c r="G6" s="7">
        <f>IFERROR(D6/B6,0)</f>
        <v/>
      </c>
      <c r="H6" s="7">
        <f>IFERROR(D6/C6,0)</f>
        <v/>
      </c>
    </row>
    <row r="7">
      <c r="A7" s="5" t="n">
        <v>3</v>
      </c>
      <c r="B7" s="6" t="n">
        <v>27700</v>
      </c>
      <c r="C7" s="6" t="n">
        <v>11596</v>
      </c>
      <c r="D7" s="6" t="n">
        <v>49</v>
      </c>
      <c r="E7" s="6" t="n">
        <v>11</v>
      </c>
      <c r="F7" s="7">
        <f>IFERROR(C7/B7,0)</f>
        <v/>
      </c>
      <c r="G7" s="7">
        <f>IFERROR(D7/B7,0)</f>
        <v/>
      </c>
      <c r="H7" s="7">
        <f>IFERROR(D7/C7,0)</f>
        <v/>
      </c>
    </row>
    <row r="8">
      <c r="A8" s="5" t="n">
        <v>4</v>
      </c>
      <c r="B8" s="6" t="n">
        <v>40941</v>
      </c>
      <c r="C8" s="6" t="n">
        <v>24232</v>
      </c>
      <c r="D8" s="6" t="n">
        <v>55</v>
      </c>
      <c r="E8" s="6" t="n">
        <v>6</v>
      </c>
      <c r="F8" s="7">
        <f>IFERROR(C8/B8,0)</f>
        <v/>
      </c>
      <c r="G8" s="7">
        <f>IFERROR(D8/B8,0)</f>
        <v/>
      </c>
      <c r="H8" s="7">
        <f>IFERROR(D8/C8,0)</f>
        <v/>
      </c>
    </row>
    <row r="9">
      <c r="A9" s="5" t="n">
        <v>5</v>
      </c>
      <c r="B9" s="6" t="n">
        <v>28071</v>
      </c>
      <c r="C9" s="6" t="n">
        <v>14072</v>
      </c>
      <c r="D9" s="6" t="n">
        <v>70</v>
      </c>
      <c r="E9" s="6" t="n">
        <v>9</v>
      </c>
      <c r="F9" s="7">
        <f>IFERROR(C9/B9,0)</f>
        <v/>
      </c>
      <c r="G9" s="7">
        <f>IFERROR(D9/B9,0)</f>
        <v/>
      </c>
      <c r="H9" s="7">
        <f>IFERROR(D9/C9,0)</f>
        <v/>
      </c>
    </row>
    <row r="10">
      <c r="A10" s="5" t="n">
        <v>6</v>
      </c>
      <c r="B10" s="6" t="n">
        <v>28757</v>
      </c>
      <c r="C10" s="6" t="n">
        <v>15493</v>
      </c>
      <c r="D10" s="6" t="n">
        <v>52</v>
      </c>
      <c r="E10" s="6" t="n">
        <v>8</v>
      </c>
      <c r="F10" s="7">
        <f>IFERROR(C10/B10,0)</f>
        <v/>
      </c>
      <c r="G10" s="7">
        <f>IFERROR(D10/B10,0)</f>
        <v/>
      </c>
      <c r="H10" s="7">
        <f>IFERROR(D10/C10,0)</f>
        <v/>
      </c>
    </row>
    <row r="11">
      <c r="A11" s="5" t="n">
        <v>7</v>
      </c>
      <c r="B11" s="6" t="n">
        <v>16928</v>
      </c>
      <c r="C11" s="6" t="n">
        <v>9292</v>
      </c>
      <c r="D11" s="6" t="n">
        <v>49</v>
      </c>
      <c r="E11" s="6" t="n">
        <v>57</v>
      </c>
      <c r="F11" s="7">
        <f>IFERROR(C11/B11,0)</f>
        <v/>
      </c>
      <c r="G11" s="7">
        <f>IFERROR(D11/B11,0)</f>
        <v/>
      </c>
      <c r="H11" s="7">
        <f>IFERROR(D11/C11,0)</f>
        <v/>
      </c>
    </row>
    <row r="14">
      <c r="B14" s="3" t="inlineStr">
        <is>
          <t>By Hour-of-Day Sent (1-24, local send-window hour)</t>
        </is>
      </c>
    </row>
    <row r="16">
      <c r="A16" s="4" t="inlineStr">
        <is>
          <t>Hour</t>
        </is>
      </c>
      <c r="B16" s="4" t="inlineStr">
        <is>
          <t>Delivered</t>
        </is>
      </c>
      <c r="C16" s="4" t="inlineStr">
        <is>
          <t>Opened</t>
        </is>
      </c>
      <c r="D16" s="4" t="inlineStr">
        <is>
          <t>Clicked</t>
        </is>
      </c>
      <c r="E16" s="4" t="inlineStr">
        <is>
          <t>Unsub</t>
        </is>
      </c>
      <c r="F16" s="4" t="inlineStr">
        <is>
          <t>Open Rate</t>
        </is>
      </c>
      <c r="G16" s="4" t="inlineStr">
        <is>
          <t>Click Rate</t>
        </is>
      </c>
      <c r="H16" s="4" t="inlineStr">
        <is>
          <t>CTOR</t>
        </is>
      </c>
    </row>
    <row r="17">
      <c r="A17" s="5" t="n">
        <v>1</v>
      </c>
      <c r="B17" s="6" t="n">
        <v>8601</v>
      </c>
      <c r="C17" s="6" t="n">
        <v>4495</v>
      </c>
      <c r="D17" s="6" t="n">
        <v>17</v>
      </c>
      <c r="E17" s="6" t="n">
        <v>2</v>
      </c>
      <c r="F17" s="7">
        <f>IFERROR(C17/B17,0)</f>
        <v/>
      </c>
      <c r="G17" s="7">
        <f>IFERROR(D17/B17,0)</f>
        <v/>
      </c>
      <c r="H17" s="7">
        <f>IFERROR(D17/C17,0)</f>
        <v/>
      </c>
    </row>
    <row r="18">
      <c r="A18" s="5" t="n">
        <v>2</v>
      </c>
      <c r="B18" s="6" t="n">
        <v>10460</v>
      </c>
      <c r="C18" s="6" t="n">
        <v>6162</v>
      </c>
      <c r="D18" s="6" t="n">
        <v>21</v>
      </c>
      <c r="E18" s="6" t="n">
        <v>6</v>
      </c>
      <c r="F18" s="7">
        <f>IFERROR(C18/B18,0)</f>
        <v/>
      </c>
      <c r="G18" s="7">
        <f>IFERROR(D18/B18,0)</f>
        <v/>
      </c>
      <c r="H18" s="7">
        <f>IFERROR(D18/C18,0)</f>
        <v/>
      </c>
    </row>
    <row r="19">
      <c r="A19" s="5" t="n">
        <v>3</v>
      </c>
      <c r="B19" s="6" t="n">
        <v>13397</v>
      </c>
      <c r="C19" s="6" t="n">
        <v>8549</v>
      </c>
      <c r="D19" s="6" t="n">
        <v>24</v>
      </c>
      <c r="E19" s="6" t="n">
        <v>6</v>
      </c>
      <c r="F19" s="7">
        <f>IFERROR(C19/B19,0)</f>
        <v/>
      </c>
      <c r="G19" s="7">
        <f>IFERROR(D19/B19,0)</f>
        <v/>
      </c>
      <c r="H19" s="7">
        <f>IFERROR(D19/C19,0)</f>
        <v/>
      </c>
    </row>
    <row r="20">
      <c r="A20" s="5" t="n">
        <v>4</v>
      </c>
      <c r="B20" s="6" t="n">
        <v>15365</v>
      </c>
      <c r="C20" s="6" t="n">
        <v>10372</v>
      </c>
      <c r="D20" s="6" t="n">
        <v>27</v>
      </c>
      <c r="E20" s="6" t="n">
        <v>5</v>
      </c>
      <c r="F20" s="7">
        <f>IFERROR(C20/B20,0)</f>
        <v/>
      </c>
      <c r="G20" s="7">
        <f>IFERROR(D20/B20,0)</f>
        <v/>
      </c>
      <c r="H20" s="7">
        <f>IFERROR(D20/C20,0)</f>
        <v/>
      </c>
    </row>
    <row r="21">
      <c r="A21" s="5" t="n">
        <v>5</v>
      </c>
      <c r="B21" s="6" t="n">
        <v>13023</v>
      </c>
      <c r="C21" s="6" t="n">
        <v>8774</v>
      </c>
      <c r="D21" s="6" t="n">
        <v>24</v>
      </c>
      <c r="E21" s="6" t="n">
        <v>2</v>
      </c>
      <c r="F21" s="7">
        <f>IFERROR(C21/B21,0)</f>
        <v/>
      </c>
      <c r="G21" s="7">
        <f>IFERROR(D21/B21,0)</f>
        <v/>
      </c>
      <c r="H21" s="7">
        <f>IFERROR(D21/C21,0)</f>
        <v/>
      </c>
    </row>
    <row r="22">
      <c r="A22" s="5" t="n">
        <v>6</v>
      </c>
      <c r="B22" s="6" t="n">
        <v>7708</v>
      </c>
      <c r="C22" s="6" t="n">
        <v>4521</v>
      </c>
      <c r="D22" s="6" t="n">
        <v>11</v>
      </c>
      <c r="E22" s="6" t="n">
        <v>1</v>
      </c>
      <c r="F22" s="7">
        <f>IFERROR(C22/B22,0)</f>
        <v/>
      </c>
      <c r="G22" s="7">
        <f>IFERROR(D22/B22,0)</f>
        <v/>
      </c>
      <c r="H22" s="7">
        <f>IFERROR(D22/C22,0)</f>
        <v/>
      </c>
    </row>
    <row r="23">
      <c r="A23" s="5" t="n">
        <v>7</v>
      </c>
      <c r="B23" s="6" t="n">
        <v>5578</v>
      </c>
      <c r="C23" s="6" t="n">
        <v>3070</v>
      </c>
      <c r="D23" s="6" t="n">
        <v>5</v>
      </c>
      <c r="E23" s="6" t="n">
        <v>4</v>
      </c>
      <c r="F23" s="7">
        <f>IFERROR(C23/B23,0)</f>
        <v/>
      </c>
      <c r="G23" s="7">
        <f>IFERROR(D23/B23,0)</f>
        <v/>
      </c>
      <c r="H23" s="7">
        <f>IFERROR(D23/C23,0)</f>
        <v/>
      </c>
    </row>
    <row r="24">
      <c r="A24" s="5" t="n">
        <v>8</v>
      </c>
      <c r="B24" s="6" t="n">
        <v>3845</v>
      </c>
      <c r="C24" s="6" t="n">
        <v>2070</v>
      </c>
      <c r="D24" s="6" t="n">
        <v>3</v>
      </c>
      <c r="E24" s="6" t="n">
        <v>1</v>
      </c>
      <c r="F24" s="7">
        <f>IFERROR(C24/B24,0)</f>
        <v/>
      </c>
      <c r="G24" s="7">
        <f>IFERROR(D24/B24,0)</f>
        <v/>
      </c>
      <c r="H24" s="7">
        <f>IFERROR(D24/C24,0)</f>
        <v/>
      </c>
    </row>
    <row r="25">
      <c r="A25" s="5" t="n">
        <v>9</v>
      </c>
      <c r="B25" s="6" t="n">
        <v>2780</v>
      </c>
      <c r="C25" s="6" t="n">
        <v>1460</v>
      </c>
      <c r="D25" s="6" t="n">
        <v>4</v>
      </c>
      <c r="E25" s="6" t="n">
        <v>0</v>
      </c>
      <c r="F25" s="7">
        <f>IFERROR(C25/B25,0)</f>
        <v/>
      </c>
      <c r="G25" s="7">
        <f>IFERROR(D25/B25,0)</f>
        <v/>
      </c>
      <c r="H25" s="7">
        <f>IFERROR(D25/C25,0)</f>
        <v/>
      </c>
    </row>
    <row r="26">
      <c r="A26" s="5" t="n">
        <v>10</v>
      </c>
      <c r="B26" s="6" t="n">
        <v>2495</v>
      </c>
      <c r="C26" s="6" t="n">
        <v>1294</v>
      </c>
      <c r="D26" s="6" t="n">
        <v>2</v>
      </c>
      <c r="E26" s="6" t="n">
        <v>2</v>
      </c>
      <c r="F26" s="7">
        <f>IFERROR(C26/B26,0)</f>
        <v/>
      </c>
      <c r="G26" s="7">
        <f>IFERROR(D26/B26,0)</f>
        <v/>
      </c>
      <c r="H26" s="7">
        <f>IFERROR(D26/C26,0)</f>
        <v/>
      </c>
    </row>
    <row r="27">
      <c r="A27" s="5" t="n">
        <v>11</v>
      </c>
      <c r="B27" s="6" t="n">
        <v>3494</v>
      </c>
      <c r="C27" s="6" t="n">
        <v>1508</v>
      </c>
      <c r="D27" s="6" t="n">
        <v>6</v>
      </c>
      <c r="E27" s="6" t="n">
        <v>1</v>
      </c>
      <c r="F27" s="7">
        <f>IFERROR(C27/B27,0)</f>
        <v/>
      </c>
      <c r="G27" s="7">
        <f>IFERROR(D27/B27,0)</f>
        <v/>
      </c>
      <c r="H27" s="7">
        <f>IFERROR(D27/C27,0)</f>
        <v/>
      </c>
    </row>
    <row r="28">
      <c r="A28" s="5" t="n">
        <v>12</v>
      </c>
      <c r="B28" s="6" t="n">
        <v>4877</v>
      </c>
      <c r="C28" s="6" t="n">
        <v>1931</v>
      </c>
      <c r="D28" s="6" t="n">
        <v>16</v>
      </c>
      <c r="E28" s="6" t="n">
        <v>10</v>
      </c>
      <c r="F28" s="7">
        <f>IFERROR(C28/B28,0)</f>
        <v/>
      </c>
      <c r="G28" s="7">
        <f>IFERROR(D28/B28,0)</f>
        <v/>
      </c>
      <c r="H28" s="7">
        <f>IFERROR(D28/C28,0)</f>
        <v/>
      </c>
    </row>
    <row r="29">
      <c r="A29" s="5" t="n">
        <v>13</v>
      </c>
      <c r="B29" s="6" t="n">
        <v>7261</v>
      </c>
      <c r="C29" s="6" t="n">
        <v>2876</v>
      </c>
      <c r="D29" s="6" t="n">
        <v>24</v>
      </c>
      <c r="E29" s="6" t="n">
        <v>11</v>
      </c>
      <c r="F29" s="7">
        <f>IFERROR(C29/B29,0)</f>
        <v/>
      </c>
      <c r="G29" s="7">
        <f>IFERROR(D29/B29,0)</f>
        <v/>
      </c>
      <c r="H29" s="7">
        <f>IFERROR(D29/C29,0)</f>
        <v/>
      </c>
    </row>
    <row r="30">
      <c r="A30" s="5" t="n">
        <v>14</v>
      </c>
      <c r="B30" s="6" t="n">
        <v>7817</v>
      </c>
      <c r="C30" s="6" t="n">
        <v>3313</v>
      </c>
      <c r="D30" s="6" t="n">
        <v>17</v>
      </c>
      <c r="E30" s="6" t="n">
        <v>12</v>
      </c>
      <c r="F30" s="7">
        <f>IFERROR(C30/B30,0)</f>
        <v/>
      </c>
      <c r="G30" s="7">
        <f>IFERROR(D30/B30,0)</f>
        <v/>
      </c>
      <c r="H30" s="7">
        <f>IFERROR(D30/C30,0)</f>
        <v/>
      </c>
    </row>
    <row r="31">
      <c r="A31" s="5" t="n">
        <v>15</v>
      </c>
      <c r="B31" s="6" t="n">
        <v>7824</v>
      </c>
      <c r="C31" s="6" t="n">
        <v>3471</v>
      </c>
      <c r="D31" s="6" t="n">
        <v>17</v>
      </c>
      <c r="E31" s="6" t="n">
        <v>20</v>
      </c>
      <c r="F31" s="7">
        <f>IFERROR(C31/B31,0)</f>
        <v/>
      </c>
      <c r="G31" s="7">
        <f>IFERROR(D31/B31,0)</f>
        <v/>
      </c>
      <c r="H31" s="7">
        <f>IFERROR(D31/C31,0)</f>
        <v/>
      </c>
    </row>
    <row r="32">
      <c r="A32" s="5" t="n">
        <v>16</v>
      </c>
      <c r="B32" s="6" t="n">
        <v>7755</v>
      </c>
      <c r="C32" s="6" t="n">
        <v>3212</v>
      </c>
      <c r="D32" s="6" t="n">
        <v>24</v>
      </c>
      <c r="E32" s="6" t="n">
        <v>5</v>
      </c>
      <c r="F32" s="7">
        <f>IFERROR(C32/B32,0)</f>
        <v/>
      </c>
      <c r="G32" s="7">
        <f>IFERROR(D32/B32,0)</f>
        <v/>
      </c>
      <c r="H32" s="7">
        <f>IFERROR(D32/C32,0)</f>
        <v/>
      </c>
    </row>
    <row r="33">
      <c r="A33" s="5" t="n">
        <v>17</v>
      </c>
      <c r="B33" s="6" t="n">
        <v>7715</v>
      </c>
      <c r="C33" s="6" t="n">
        <v>3208</v>
      </c>
      <c r="D33" s="6" t="n">
        <v>18</v>
      </c>
      <c r="E33" s="6" t="n">
        <v>7</v>
      </c>
      <c r="F33" s="7">
        <f>IFERROR(C33/B33,0)</f>
        <v/>
      </c>
      <c r="G33" s="7">
        <f>IFERROR(D33/B33,0)</f>
        <v/>
      </c>
      <c r="H33" s="7">
        <f>IFERROR(D33/C33,0)</f>
        <v/>
      </c>
    </row>
    <row r="34">
      <c r="A34" s="5" t="n">
        <v>18</v>
      </c>
      <c r="B34" s="6" t="n">
        <v>7951</v>
      </c>
      <c r="C34" s="6" t="n">
        <v>3302</v>
      </c>
      <c r="D34" s="6" t="n">
        <v>12</v>
      </c>
      <c r="E34" s="6" t="n">
        <v>2</v>
      </c>
      <c r="F34" s="7">
        <f>IFERROR(C34/B34,0)</f>
        <v/>
      </c>
      <c r="G34" s="7">
        <f>IFERROR(D34/B34,0)</f>
        <v/>
      </c>
      <c r="H34" s="7">
        <f>IFERROR(D34/C34,0)</f>
        <v/>
      </c>
    </row>
    <row r="35">
      <c r="A35" s="5" t="n">
        <v>19</v>
      </c>
      <c r="B35" s="6" t="n">
        <v>8547</v>
      </c>
      <c r="C35" s="6" t="n">
        <v>3445</v>
      </c>
      <c r="D35" s="6" t="n">
        <v>14</v>
      </c>
      <c r="E35" s="6" t="n">
        <v>4</v>
      </c>
      <c r="F35" s="7">
        <f>IFERROR(C35/B35,0)</f>
        <v/>
      </c>
      <c r="G35" s="7">
        <f>IFERROR(D35/B35,0)</f>
        <v/>
      </c>
      <c r="H35" s="7">
        <f>IFERROR(D35/C35,0)</f>
        <v/>
      </c>
    </row>
    <row r="36">
      <c r="A36" s="5" t="n">
        <v>20</v>
      </c>
      <c r="B36" s="6" t="n">
        <v>9036</v>
      </c>
      <c r="C36" s="6" t="n">
        <v>3806</v>
      </c>
      <c r="D36" s="6" t="n">
        <v>18</v>
      </c>
      <c r="E36" s="6" t="n">
        <v>4</v>
      </c>
      <c r="F36" s="7">
        <f>IFERROR(C36/B36,0)</f>
        <v/>
      </c>
      <c r="G36" s="7">
        <f>IFERROR(D36/B36,0)</f>
        <v/>
      </c>
      <c r="H36" s="7">
        <f>IFERROR(D36/C36,0)</f>
        <v/>
      </c>
    </row>
    <row r="37">
      <c r="A37" s="5" t="n">
        <v>21</v>
      </c>
      <c r="B37" s="6" t="n">
        <v>9321</v>
      </c>
      <c r="C37" s="6" t="n">
        <v>4166</v>
      </c>
      <c r="D37" s="6" t="n">
        <v>12</v>
      </c>
      <c r="E37" s="6" t="n">
        <v>5</v>
      </c>
      <c r="F37" s="7">
        <f>IFERROR(C37/B37,0)</f>
        <v/>
      </c>
      <c r="G37" s="7">
        <f>IFERROR(D37/B37,0)</f>
        <v/>
      </c>
      <c r="H37" s="7">
        <f>IFERROR(D37/C37,0)</f>
        <v/>
      </c>
    </row>
    <row r="38">
      <c r="A38" s="5" t="n">
        <v>22</v>
      </c>
      <c r="B38" s="6" t="n">
        <v>8966</v>
      </c>
      <c r="C38" s="6" t="n">
        <v>4270</v>
      </c>
      <c r="D38" s="6" t="n">
        <v>23</v>
      </c>
      <c r="E38" s="6" t="n">
        <v>1</v>
      </c>
      <c r="F38" s="7">
        <f>IFERROR(C38/B38,0)</f>
        <v/>
      </c>
      <c r="G38" s="7">
        <f>IFERROR(D38/B38,0)</f>
        <v/>
      </c>
      <c r="H38" s="7">
        <f>IFERROR(D38/C38,0)</f>
        <v/>
      </c>
    </row>
    <row r="39">
      <c r="A39" s="5" t="n">
        <v>23</v>
      </c>
      <c r="B39" s="6" t="n">
        <v>8044</v>
      </c>
      <c r="C39" s="6" t="n">
        <v>4010</v>
      </c>
      <c r="D39" s="6" t="n">
        <v>16</v>
      </c>
      <c r="E39" s="6" t="n">
        <v>2</v>
      </c>
      <c r="F39" s="7">
        <f>IFERROR(C39/B39,0)</f>
        <v/>
      </c>
      <c r="G39" s="7">
        <f>IFERROR(D39/B39,0)</f>
        <v/>
      </c>
      <c r="H39" s="7">
        <f>IFERROR(D39/C39,0)</f>
        <v/>
      </c>
    </row>
    <row r="40">
      <c r="A40" s="5" t="n">
        <v>24</v>
      </c>
      <c r="B40" s="6" t="n">
        <v>7850</v>
      </c>
      <c r="C40" s="6" t="n">
        <v>3939</v>
      </c>
      <c r="D40" s="6" t="n">
        <v>14</v>
      </c>
      <c r="E40" s="6" t="n">
        <v>4</v>
      </c>
      <c r="F40" s="7">
        <f>IFERROR(C40/B40,0)</f>
        <v/>
      </c>
      <c r="G40" s="7">
        <f>IFERROR(D40/B40,0)</f>
        <v/>
      </c>
      <c r="H40" s="7">
        <f>IFERROR(D40/C40,0)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>
      <c r="B2" s="3" t="inlineStr">
        <is>
          <t>Top Clicked Links (all, including unsubscribe)</t>
        </is>
      </c>
    </row>
    <row r="4">
      <c r="A4" s="4" t="inlineStr">
        <is>
          <t>Link</t>
        </is>
      </c>
      <c r="B4" s="4" t="inlineStr">
        <is>
          <t>URL</t>
        </is>
      </c>
      <c r="C4" s="4" t="inlineStr">
        <is>
          <t>Gross Clicks</t>
        </is>
      </c>
      <c r="D4" s="4" t="inlineStr">
        <is>
          <t>Unique Clickers</t>
        </is>
      </c>
    </row>
    <row r="5">
      <c r="A5" s="5" t="inlineStr">
        <is>
          <t>CUSTOMOPTOUT</t>
        </is>
      </c>
      <c r="B5" s="5" t="inlineStr">
        <is>
          <t>http://survey.ngf.org/unsubscribe/unsubscribe.asp?subbtn=Unsubscribe&amp;src=OnePuttPro&amp;email=%%EMAIL%%</t>
        </is>
      </c>
      <c r="C5" s="6" t="n">
        <v>329</v>
      </c>
      <c r="D5" s="6" t="n">
        <v>312</v>
      </c>
    </row>
    <row r="6">
      <c r="A6" s="5" t="inlineStr">
        <is>
          <t>oneputtpro_com_ngf_utm_source_ngf_u_2</t>
        </is>
      </c>
      <c r="B6" s="5" t="inlineStr">
        <is>
          <t>https://oneputtpro.com/ngf?utm_source=ngf&amp;utm_medium=email&amp;utm_campaign=ngfsep19</t>
        </is>
      </c>
      <c r="C6" s="6" t="n">
        <v>58</v>
      </c>
      <c r="D6" s="6" t="n">
        <v>42</v>
      </c>
    </row>
    <row r="7">
      <c r="A7" s="5" t="inlineStr">
        <is>
          <t>oneputtpro_com_ngf_utm_source_ngf_u_3</t>
        </is>
      </c>
      <c r="B7" s="5" t="inlineStr">
        <is>
          <t>https://oneputtpro.com/ngf?utm_source=ngf&amp;utm_medium=email&amp;utm_campaign=ngfsep19</t>
        </is>
      </c>
      <c r="C7" s="6" t="n">
        <v>24</v>
      </c>
      <c r="D7" s="6" t="n">
        <v>17</v>
      </c>
    </row>
    <row r="8">
      <c r="A8" s="5" t="inlineStr">
        <is>
          <t>www_youtube_com_watch_v_qNAxI_jYkQ4</t>
        </is>
      </c>
      <c r="B8" s="5" t="inlineStr">
        <is>
          <t>https://www.youtube.com/watch?v=qNAxI_jYkQ4?utm_source=ngf&amp;utm_medium=email&amp;utm_campaign=ngfsep12</t>
        </is>
      </c>
      <c r="C8" s="6" t="n">
        <v>11</v>
      </c>
      <c r="D8" s="6" t="n">
        <v>8</v>
      </c>
    </row>
    <row r="9">
      <c r="A9" s="5" t="inlineStr">
        <is>
          <t>www_oneputtpro_com_ngf_utm_source_n</t>
        </is>
      </c>
      <c r="B9" s="5" t="inlineStr">
        <is>
          <t>https://www.oneputtpro.com/ngf?utm_source=ngf&amp;utm_medium=email&amp;utm_campaign=ngfsep19</t>
        </is>
      </c>
      <c r="C9" s="6" t="n">
        <v>10</v>
      </c>
      <c r="D9" s="6" t="n">
        <v>7</v>
      </c>
    </row>
    <row r="10">
      <c r="A10" s="5" t="inlineStr">
        <is>
          <t>www_youtube_com_watch_v_un2MHVGtgqY</t>
        </is>
      </c>
      <c r="B10" s="5" t="inlineStr">
        <is>
          <t>https://www.youtube.com/watch?v=un2MHVGtgqY?utm_source=ngf&amp;utm_medium=email&amp;utm_campaign=ngfsep12</t>
        </is>
      </c>
      <c r="C10" s="6" t="n">
        <v>10</v>
      </c>
      <c r="D10" s="6" t="n">
        <v>7</v>
      </c>
    </row>
    <row r="11">
      <c r="A11" s="5" t="inlineStr">
        <is>
          <t>www_oneputtpro_com_privacy_policy</t>
        </is>
      </c>
      <c r="B11" s="5" t="inlineStr">
        <is>
          <t>https://www.oneputtpro.com/privacy-policy</t>
        </is>
      </c>
      <c r="C11" s="6" t="n">
        <v>7</v>
      </c>
      <c r="D11" s="6" t="n">
        <v>5</v>
      </c>
    </row>
    <row r="12">
      <c r="A12" s="5" t="inlineStr">
        <is>
          <t>www_oneputtpro_com_terms_of_service</t>
        </is>
      </c>
      <c r="B12" s="5" t="inlineStr">
        <is>
          <t>https://www.oneputtpro.com/terms-of-service</t>
        </is>
      </c>
      <c r="C12" s="6" t="n">
        <v>5</v>
      </c>
      <c r="D12" s="6" t="n">
        <v>3</v>
      </c>
    </row>
    <row r="15">
      <c r="B15" s="3" t="inlineStr">
        <is>
          <t>Top Domains by Volume</t>
        </is>
      </c>
    </row>
    <row r="17">
      <c r="A17" s="4" t="inlineStr">
        <is>
          <t>Domain</t>
        </is>
      </c>
      <c r="B17" s="4" t="inlineStr">
        <is>
          <t>Sent</t>
        </is>
      </c>
      <c r="C17" s="4" t="inlineStr">
        <is>
          <t>Bounced</t>
        </is>
      </c>
      <c r="D17" s="4" t="inlineStr">
        <is>
          <t>Opened</t>
        </is>
      </c>
      <c r="E17" s="4" t="inlineStr">
        <is>
          <t>Clicked</t>
        </is>
      </c>
      <c r="F17" s="4" t="inlineStr">
        <is>
          <t>Open Rate</t>
        </is>
      </c>
      <c r="G17" s="4" t="inlineStr">
        <is>
          <t>Click Rate</t>
        </is>
      </c>
      <c r="H17" s="4" t="inlineStr">
        <is>
          <t>Bounce Rate</t>
        </is>
      </c>
    </row>
    <row r="18">
      <c r="A18" s="5" t="inlineStr">
        <is>
          <t>gmail.com</t>
        </is>
      </c>
      <c r="B18" s="6" t="n">
        <v>189732</v>
      </c>
      <c r="C18" s="6" t="n">
        <v>224</v>
      </c>
      <c r="D18" s="6" t="n">
        <v>123844</v>
      </c>
      <c r="E18" s="6" t="n">
        <v>426</v>
      </c>
      <c r="F18" s="7">
        <f>IFERROR(D18/B18,0)</f>
        <v/>
      </c>
      <c r="G18" s="7">
        <f>IFERROR(E18/B18,0)</f>
        <v/>
      </c>
      <c r="H18" s="7">
        <f>IFERROR(C18/B18,0)</f>
        <v/>
      </c>
    </row>
    <row r="19">
      <c r="A19" s="5" t="inlineStr">
        <is>
          <t>charter.net</t>
        </is>
      </c>
      <c r="B19" s="6" t="n">
        <v>637</v>
      </c>
      <c r="C19" s="6" t="n">
        <v>1</v>
      </c>
      <c r="D19" s="6" t="n">
        <v>484</v>
      </c>
      <c r="E19" s="6" t="n">
        <v>15</v>
      </c>
      <c r="F19" s="7">
        <f>IFERROR(D19/B19,0)</f>
        <v/>
      </c>
      <c r="G19" s="7">
        <f>IFERROR(E19/B19,0)</f>
        <v/>
      </c>
      <c r="H19" s="7">
        <f>IFERROR(C19/B19,0)</f>
        <v/>
      </c>
    </row>
    <row r="20">
      <c r="A20" s="5" t="inlineStr">
        <is>
          <t>cox.net</t>
        </is>
      </c>
      <c r="B20" s="6" t="n">
        <v>505</v>
      </c>
      <c r="C20" s="6" t="n">
        <v>61</v>
      </c>
      <c r="D20" s="6" t="n">
        <v>333</v>
      </c>
      <c r="E20" s="6" t="n">
        <v>7</v>
      </c>
      <c r="F20" s="7">
        <f>IFERROR(D20/B20,0)</f>
        <v/>
      </c>
      <c r="G20" s="7">
        <f>IFERROR(E20/B20,0)</f>
        <v/>
      </c>
      <c r="H20" s="7">
        <f>IFERROR(C20/B20,0)</f>
        <v/>
      </c>
    </row>
    <row r="21">
      <c r="A21" s="5" t="inlineStr">
        <is>
          <t>roadrunner.com</t>
        </is>
      </c>
      <c r="B21" s="6" t="n">
        <v>225</v>
      </c>
      <c r="C21" s="6" t="n">
        <v>1</v>
      </c>
      <c r="D21" s="6" t="n">
        <v>161</v>
      </c>
      <c r="E21" s="6" t="n">
        <v>1</v>
      </c>
      <c r="F21" s="7">
        <f>IFERROR(D21/B21,0)</f>
        <v/>
      </c>
      <c r="G21" s="7">
        <f>IFERROR(E21/B21,0)</f>
        <v/>
      </c>
      <c r="H21" s="7">
        <f>IFERROR(C21/B21,0)</f>
        <v/>
      </c>
    </row>
    <row r="22">
      <c r="A22" s="5" t="inlineStr">
        <is>
          <t>aim.com</t>
        </is>
      </c>
      <c r="B22" s="6" t="n">
        <v>122</v>
      </c>
      <c r="C22" s="6" t="n">
        <v>25</v>
      </c>
      <c r="D22" s="6" t="n">
        <v>88</v>
      </c>
      <c r="E22" s="6" t="n">
        <v>0</v>
      </c>
      <c r="F22" s="7">
        <f>IFERROR(D22/B22,0)</f>
        <v/>
      </c>
      <c r="G22" s="7">
        <f>IFERROR(E22/B22,0)</f>
        <v/>
      </c>
      <c r="H22" s="7">
        <f>IFERROR(C22/B22,0)</f>
        <v/>
      </c>
    </row>
    <row r="23">
      <c r="A23" s="5" t="inlineStr">
        <is>
          <t>tampabay.rr.com</t>
        </is>
      </c>
      <c r="B23" s="6" t="n">
        <v>97</v>
      </c>
      <c r="C23" s="6" t="n">
        <v>0</v>
      </c>
      <c r="D23" s="6" t="n">
        <v>65</v>
      </c>
      <c r="E23" s="6" t="n">
        <v>1</v>
      </c>
      <c r="F23" s="7">
        <f>IFERROR(D23/B23,0)</f>
        <v/>
      </c>
      <c r="G23" s="7">
        <f>IFERROR(E23/B23,0)</f>
        <v/>
      </c>
      <c r="H23" s="7">
        <f>IFERROR(C23/B23,0)</f>
        <v/>
      </c>
    </row>
    <row r="24">
      <c r="A24" s="5" t="inlineStr">
        <is>
          <t>wi.rr.com</t>
        </is>
      </c>
      <c r="B24" s="6" t="n">
        <v>91</v>
      </c>
      <c r="C24" s="6" t="n">
        <v>0</v>
      </c>
      <c r="D24" s="6" t="n">
        <v>64</v>
      </c>
      <c r="E24" s="6" t="n">
        <v>0</v>
      </c>
      <c r="F24" s="7">
        <f>IFERROR(D24/B24,0)</f>
        <v/>
      </c>
      <c r="G24" s="7">
        <f>IFERROR(E24/B24,0)</f>
        <v/>
      </c>
      <c r="H24" s="7">
        <f>IFERROR(C24/B24,0)</f>
        <v/>
      </c>
    </row>
    <row r="25">
      <c r="A25" s="5" t="inlineStr">
        <is>
          <t>cfl.rr.com</t>
        </is>
      </c>
      <c r="B25" s="6" t="n">
        <v>81</v>
      </c>
      <c r="C25" s="6" t="n">
        <v>0</v>
      </c>
      <c r="D25" s="6" t="n">
        <v>59</v>
      </c>
      <c r="E25" s="6" t="n">
        <v>0</v>
      </c>
      <c r="F25" s="7">
        <f>IFERROR(D25/B25,0)</f>
        <v/>
      </c>
      <c r="G25" s="7">
        <f>IFERROR(E25/B25,0)</f>
        <v/>
      </c>
      <c r="H25" s="7">
        <f>IFERROR(C25/B25,0)</f>
        <v/>
      </c>
    </row>
    <row r="26">
      <c r="A26" s="5" t="inlineStr">
        <is>
          <t>nc.rr.com</t>
        </is>
      </c>
      <c r="B26" s="6" t="n">
        <v>80</v>
      </c>
      <c r="C26" s="6" t="n">
        <v>0</v>
      </c>
      <c r="D26" s="6" t="n">
        <v>57</v>
      </c>
      <c r="E26" s="6" t="n">
        <v>0</v>
      </c>
      <c r="F26" s="7">
        <f>IFERROR(D26/B26,0)</f>
        <v/>
      </c>
      <c r="G26" s="7">
        <f>IFERROR(E26/B26,0)</f>
        <v/>
      </c>
      <c r="H26" s="7">
        <f>IFERROR(C26/B26,0)</f>
        <v/>
      </c>
    </row>
    <row r="27">
      <c r="A27" s="5" t="inlineStr">
        <is>
          <t>nycap.rr.com</t>
        </is>
      </c>
      <c r="B27" s="6" t="n">
        <v>66</v>
      </c>
      <c r="C27" s="6" t="n">
        <v>0</v>
      </c>
      <c r="D27" s="6" t="n">
        <v>42</v>
      </c>
      <c r="E27" s="6" t="n">
        <v>0</v>
      </c>
      <c r="F27" s="7">
        <f>IFERROR(D27/B27,0)</f>
        <v/>
      </c>
      <c r="G27" s="7">
        <f>IFERROR(E27/B27,0)</f>
        <v/>
      </c>
      <c r="H27" s="7">
        <f>IFERROR(C27/B27,0)</f>
        <v/>
      </c>
    </row>
    <row r="28">
      <c r="A28" s="5" t="inlineStr">
        <is>
          <t>carolina.rr.com</t>
        </is>
      </c>
      <c r="B28" s="6" t="n">
        <v>64</v>
      </c>
      <c r="C28" s="6" t="n">
        <v>0</v>
      </c>
      <c r="D28" s="6" t="n">
        <v>46</v>
      </c>
      <c r="E28" s="6" t="n">
        <v>0</v>
      </c>
      <c r="F28" s="7">
        <f>IFERROR(D28/B28,0)</f>
        <v/>
      </c>
      <c r="G28" s="7">
        <f>IFERROR(E28/B28,0)</f>
        <v/>
      </c>
      <c r="H28" s="7">
        <f>IFERROR(C28/B28,0)</f>
        <v/>
      </c>
    </row>
    <row r="29">
      <c r="A29" s="5" t="inlineStr">
        <is>
          <t>netscape.net</t>
        </is>
      </c>
      <c r="B29" s="6" t="n">
        <v>59</v>
      </c>
      <c r="C29" s="6" t="n">
        <v>19</v>
      </c>
      <c r="D29" s="6" t="n">
        <v>45</v>
      </c>
      <c r="E29" s="6" t="n">
        <v>0</v>
      </c>
      <c r="F29" s="7">
        <f>IFERROR(D29/B29,0)</f>
        <v/>
      </c>
      <c r="G29" s="7">
        <f>IFERROR(E29/B29,0)</f>
        <v/>
      </c>
      <c r="H29" s="7">
        <f>IFERROR(C29/B29,0)</f>
        <v/>
      </c>
    </row>
    <row r="30">
      <c r="A30" s="5" t="inlineStr">
        <is>
          <t>rochester.rr.com</t>
        </is>
      </c>
      <c r="B30" s="6" t="n">
        <v>58</v>
      </c>
      <c r="C30" s="6" t="n">
        <v>0</v>
      </c>
      <c r="D30" s="6" t="n">
        <v>49</v>
      </c>
      <c r="E30" s="6" t="n">
        <v>0</v>
      </c>
      <c r="F30" s="7">
        <f>IFERROR(D30/B30,0)</f>
        <v/>
      </c>
      <c r="G30" s="7">
        <f>IFERROR(E30/B30,0)</f>
        <v/>
      </c>
      <c r="H30" s="7">
        <f>IFERROR(C30/B30,0)</f>
        <v/>
      </c>
    </row>
    <row r="31">
      <c r="A31" s="5" t="inlineStr">
        <is>
          <t>twcny.rr.com</t>
        </is>
      </c>
      <c r="B31" s="6" t="n">
        <v>50</v>
      </c>
      <c r="C31" s="6" t="n">
        <v>0</v>
      </c>
      <c r="D31" s="6" t="n">
        <v>46</v>
      </c>
      <c r="E31" s="6" t="n">
        <v>0</v>
      </c>
      <c r="F31" s="7">
        <f>IFERROR(D31/B31,0)</f>
        <v/>
      </c>
      <c r="G31" s="7">
        <f>IFERROR(E31/B31,0)</f>
        <v/>
      </c>
      <c r="H31" s="7">
        <f>IFERROR(C31/B31,0)</f>
        <v/>
      </c>
    </row>
    <row r="32">
      <c r="A32" s="5" t="inlineStr">
        <is>
          <t>cinci.rr.com</t>
        </is>
      </c>
      <c r="B32" s="6" t="n">
        <v>47</v>
      </c>
      <c r="C32" s="6" t="n">
        <v>0</v>
      </c>
      <c r="D32" s="6" t="n">
        <v>37</v>
      </c>
      <c r="E32" s="6" t="n">
        <v>0</v>
      </c>
      <c r="F32" s="7">
        <f>IFERROR(D32/B32,0)</f>
        <v/>
      </c>
      <c r="G32" s="7">
        <f>IFERROR(E32/B32,0)</f>
        <v/>
      </c>
      <c r="H32" s="7">
        <f>IFERROR(C32/B32,0)</f>
        <v/>
      </c>
    </row>
    <row r="33">
      <c r="A33" s="5" t="inlineStr">
        <is>
          <t>neo.rr.com</t>
        </is>
      </c>
      <c r="B33" s="6" t="n">
        <v>45</v>
      </c>
      <c r="C33" s="6" t="n">
        <v>0</v>
      </c>
      <c r="D33" s="6" t="n">
        <v>23</v>
      </c>
      <c r="E33" s="6" t="n">
        <v>0</v>
      </c>
      <c r="F33" s="7">
        <f>IFERROR(D33/B33,0)</f>
        <v/>
      </c>
      <c r="G33" s="7">
        <f>IFERROR(E33/B33,0)</f>
        <v/>
      </c>
      <c r="H33" s="7">
        <f>IFERROR(C33/B33,0)</f>
        <v/>
      </c>
    </row>
    <row r="34">
      <c r="A34" s="5" t="inlineStr">
        <is>
          <t>columbus.rr.com</t>
        </is>
      </c>
      <c r="B34" s="6" t="n">
        <v>44</v>
      </c>
      <c r="C34" s="6" t="n">
        <v>0</v>
      </c>
      <c r="D34" s="6" t="n">
        <v>30</v>
      </c>
      <c r="E34" s="6" t="n">
        <v>0</v>
      </c>
      <c r="F34" s="7">
        <f>IFERROR(D34/B34,0)</f>
        <v/>
      </c>
      <c r="G34" s="7">
        <f>IFERROR(E34/B34,0)</f>
        <v/>
      </c>
      <c r="H34" s="7">
        <f>IFERROR(C34/B34,0)</f>
        <v/>
      </c>
    </row>
    <row r="35">
      <c r="A35" s="5" t="inlineStr">
        <is>
          <t>woh.rr.com</t>
        </is>
      </c>
      <c r="B35" s="6" t="n">
        <v>42</v>
      </c>
      <c r="C35" s="6" t="n">
        <v>0</v>
      </c>
      <c r="D35" s="6" t="n">
        <v>34</v>
      </c>
      <c r="E35" s="6" t="n">
        <v>0</v>
      </c>
      <c r="F35" s="7">
        <f>IFERROR(D35/B35,0)</f>
        <v/>
      </c>
      <c r="G35" s="7">
        <f>IFERROR(E35/B35,0)</f>
        <v/>
      </c>
      <c r="H35" s="7">
        <f>IFERROR(C35/B35,0)</f>
        <v/>
      </c>
    </row>
    <row r="36">
      <c r="A36" s="5" t="inlineStr">
        <is>
          <t>triad.rr.com</t>
        </is>
      </c>
      <c r="B36" s="6" t="n">
        <v>36</v>
      </c>
      <c r="C36" s="6" t="n">
        <v>0</v>
      </c>
      <c r="D36" s="6" t="n">
        <v>25</v>
      </c>
      <c r="E36" s="6" t="n">
        <v>0</v>
      </c>
      <c r="F36" s="7">
        <f>IFERROR(D36/B36,0)</f>
        <v/>
      </c>
      <c r="G36" s="7">
        <f>IFERROR(E36/B36,0)</f>
        <v/>
      </c>
      <c r="H36" s="7">
        <f>IFERROR(C36/B36,0)</f>
        <v/>
      </c>
    </row>
    <row r="37">
      <c r="A37" s="5" t="inlineStr">
        <is>
          <t>cs.com</t>
        </is>
      </c>
      <c r="B37" s="6" t="n">
        <v>34</v>
      </c>
      <c r="C37" s="6" t="n">
        <v>16</v>
      </c>
      <c r="D37" s="6" t="n">
        <v>20</v>
      </c>
      <c r="E37" s="6" t="n">
        <v>0</v>
      </c>
      <c r="F37" s="7">
        <f>IFERROR(D37/B37,0)</f>
        <v/>
      </c>
      <c r="G37" s="7">
        <f>IFERROR(E37/B37,0)</f>
        <v/>
      </c>
      <c r="H37" s="7">
        <f>IFERROR(C37/B37,0)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</cols>
  <sheetData>
    <row r="2">
      <c r="B2" s="3" t="inlineStr">
        <is>
          <t>List Quality &amp; Hygiene Notes</t>
        </is>
      </c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Note</t>
        </is>
      </c>
    </row>
    <row r="5" ht="28" customHeight="1">
      <c r="A5" s="5" t="inlineStr">
        <is>
          <t>Pre-send suppressed</t>
        </is>
      </c>
      <c r="B5" s="5" t="n">
        <v>1891</v>
      </c>
      <c r="C5" s="13" t="inlineStr">
        <is>
          <t>Excluded before send (prior opt-outs / invalids) — normal hygiene</t>
        </is>
      </c>
    </row>
    <row r="6" ht="28" customHeight="1">
      <c r="A6" s="5" t="inlineStr">
        <is>
          <t>Hard bounces</t>
        </is>
      </c>
      <c r="B6" s="5" t="n">
        <v>3</v>
      </c>
      <c r="C6" s="13" t="inlineStr">
        <is>
          <t>Permanently undeliverable — remove from file</t>
        </is>
      </c>
    </row>
    <row r="7" ht="28" customHeight="1">
      <c r="A7" s="5" t="inlineStr">
        <is>
          <t>Soft bounces</t>
        </is>
      </c>
      <c r="B7" s="5" t="n">
        <v>343</v>
      </c>
      <c r="C7" s="13" t="inlineStr">
        <is>
          <t>Temporary failure — monitor for repeat soft bounces next send, then suppress</t>
        </is>
      </c>
    </row>
    <row r="8" ht="28" customHeight="1">
      <c r="A8" s="5" t="inlineStr">
        <is>
          <t>Unsubscribe-link clicks vs. completed opt-outs</t>
        </is>
      </c>
      <c r="B8" s="5" t="inlineStr">
        <is>
          <t>312 vs 117</t>
        </is>
      </c>
      <c r="C8" s="13" t="inlineStr">
        <is>
          <t>~195-person gap — check unsubscribe landing page / confirmation flow for friction or errors</t>
        </is>
      </c>
    </row>
    <row r="9" ht="28" customHeight="1">
      <c r="A9" s="5" t="inlineStr">
        <is>
          <t>Stale 2019-vintage source records</t>
        </is>
      </c>
      <c r="B9" s="5" t="n">
        <v>42162</v>
      </c>
      <c r="C9" s="13" t="inlineStr">
        <is>
          <t>22% of delivered file; opens ~3pts lower (49.2% vs 51.8%) — candidate for re-permission or a dedicated refresh test</t>
        </is>
      </c>
    </row>
    <row r="10" ht="28" customHeight="1">
      <c r="A10" s="5" t="inlineStr">
        <is>
          <t>Records with no explicit opt-in flag</t>
        </is>
      </c>
      <c r="B10" s="5" t="n">
        <v>12664</v>
      </c>
      <c r="C10" s="13" t="inlineStr">
        <is>
          <t>Confirm these are governed by an appropriate legal basis before the next send</t>
        </is>
      </c>
    </row>
    <row r="11" ht="28" customHeight="1">
      <c r="A11" s="5" t="inlineStr">
        <is>
          <t>cox.net bounce rate</t>
        </is>
      </c>
      <c r="B11" s="5" t="inlineStr">
        <is>
          <t>12.1%</t>
        </is>
      </c>
      <c r="C11" s="13" t="inlineStr">
        <is>
          <t>Well above list average (0.1%) — check for a blocklist/deliverability issue at this ISP</t>
        </is>
      </c>
    </row>
    <row r="12" ht="28" customHeight="1">
      <c r="A12" s="5" t="inlineStr">
        <is>
          <t>aim.com bounce rate</t>
        </is>
      </c>
      <c r="B12" s="5" t="inlineStr">
        <is>
          <t>20.5%</t>
        </is>
      </c>
      <c r="C12" s="13" t="inlineStr">
        <is>
          <t>Legacy ISP, high bounce rate — low remaining value, consider suppressing on next hard-bounce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sheetData>
    <row r="2">
      <c r="B2" s="3" t="inlineStr">
        <is>
          <t>Recommendations for the Next OnePuttPro Send</t>
        </is>
      </c>
    </row>
    <row r="4" ht="34" customHeight="1">
      <c r="B4" s="10" t="inlineStr">
        <is>
          <t>1.  Prioritize Model Rank A/B for the primary send; consider a smaller, separate test creative for Rank C (53,469 people, 20.9% open) before including them at full volume — don't let them drag the aggregate metrics.</t>
        </is>
      </c>
    </row>
    <row r="5" ht="34" customHeight="1">
      <c r="B5" s="10" t="inlineStr">
        <is>
          <t>2.  The unsubscribe link is drawing far more clicks (312) than the actual CTA content (60) — audit send frequency/relevance for the segment clicking it, and fix or simplify the unsubscribe confirmation flow to close the 195-person gap between clicking and completing opt-out.</t>
        </is>
      </c>
    </row>
    <row r="6" ht="34" customHeight="1">
      <c r="B6" s="10" t="inlineStr">
        <is>
          <t>3.  Standardize the main CTA URL (currently split between oneputtpro.com/ngf and www.oneputtpro.com/ngf across template variants) so click tracking isn't fragmented across two rows next time.</t>
        </is>
      </c>
    </row>
    <row r="7" ht="34" customHeight="1">
      <c r="B7" s="10" t="inlineStr">
        <is>
          <t>4.  If gender can be appended for more of the file, the male/female open-rate gap (46% vs 81%) is large enough to justify gender-specific subject lines or send-time testing once volume supports it.</t>
        </is>
      </c>
    </row>
    <row r="8" ht="34" customHeight="1">
      <c r="B8" s="10" t="inlineStr">
        <is>
          <t>5.  Flag cox.net and aim.com for a deliverability check before the next send — their bounce rates (12% and 20%) are well outside the list norm (~0.1%).</t>
        </is>
      </c>
    </row>
    <row r="9" ht="34" customHeight="1">
      <c r="B9" s="10" t="inlineStr">
        <is>
          <t>6.  Re-permission or sunset the 42,162 stale 2019-vintage contacts; a short win-back subject line to just that segment would validate whether they're still worth mailing.</t>
        </is>
      </c>
    </row>
    <row r="10" ht="34" customHeight="1">
      <c r="B10" s="10" t="inlineStr">
        <is>
          <t>7.  Use the exported segment files (Audience Segments folder) to build a 'engaged' suppression-free priority list and a 'never engaged' re-engagement or sunset test for the next campaign.</t>
        </is>
      </c>
    </row>
    <row r="12">
      <c r="B12" s="11" t="inlineStr">
        <is>
          <t>Segment export files (for re-targeting / suppression, saved alongside this workbook):</t>
        </is>
      </c>
    </row>
    <row r="13">
      <c r="B13" s="8" t="inlineStr">
        <is>
          <t xml:space="preserve">  •  clicked_engaged.csv — 369 contacts who clicked any link — your warmest segment</t>
        </is>
      </c>
    </row>
    <row r="14">
      <c r="B14" s="8" t="inlineStr">
        <is>
          <t xml:space="preserve">  •  opened_no_click.csv — 96855 contacts who opened but never clicked</t>
        </is>
      </c>
    </row>
    <row r="15">
      <c r="B15" s="8" t="inlineStr">
        <is>
          <t xml:space="preserve">  •  no_engagement.csv — 92486 contacts with zero recorded engagement — re-engagement or sunset candidates</t>
        </is>
      </c>
    </row>
    <row r="16">
      <c r="B16" s="8" t="inlineStr">
        <is>
          <t xml:space="preserve">  •  unsubscribed.csv — 117 completed opt-outs — confirm suppressed in the platform</t>
        </is>
      </c>
    </row>
  </sheetData>
  <mergeCells count="11">
    <mergeCell ref="B9:I9"/>
    <mergeCell ref="B13:I13"/>
    <mergeCell ref="B15:I15"/>
    <mergeCell ref="B7:I7"/>
    <mergeCell ref="B6:I6"/>
    <mergeCell ref="B16:I16"/>
    <mergeCell ref="B10:I10"/>
    <mergeCell ref="B5:I5"/>
    <mergeCell ref="B14:I14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2026-09-25T15:49:43Z</dcterms:created>
  <dcterms:modified xsi:type="dcterms:W3CDTF">2026-09-25T15:49:43Z</dcterms:modified>
</cp:coreProperties>
</file>